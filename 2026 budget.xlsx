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Bertz-Sharon\Dropbox\CD- work from home\IT DEVELOPMENT\Sales Meeting\"/>
    </mc:Choice>
  </mc:AlternateContent>
  <xr:revisionPtr revIDLastSave="0" documentId="13_ncr:1_{80A3133F-4432-4C99-B153-D857A216016B}" xr6:coauthVersionLast="47" xr6:coauthVersionMax="47" xr10:uidLastSave="{00000000-0000-0000-0000-000000000000}"/>
  <bookViews>
    <workbookView xWindow="28680" yWindow="-120" windowWidth="29040" windowHeight="15840" xr2:uid="{0A4FE890-C500-45BF-9FF5-24BF643E790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N7" i="1" s="1"/>
  <c r="M6" i="1"/>
  <c r="L6" i="1"/>
  <c r="K6" i="1"/>
  <c r="J6" i="1"/>
  <c r="I6" i="1"/>
  <c r="H6" i="1"/>
  <c r="G6" i="1"/>
  <c r="F6" i="1"/>
  <c r="E6" i="1"/>
  <c r="D6" i="1"/>
  <c r="C6" i="1"/>
  <c r="B6" i="1"/>
  <c r="N6" i="1" s="1"/>
  <c r="N8" i="1" l="1"/>
</calcChain>
</file>

<file path=xl/sharedStrings.xml><?xml version="1.0" encoding="utf-8"?>
<sst xmlns="http://schemas.openxmlformats.org/spreadsheetml/2006/main" count="5" uniqueCount="5">
  <si>
    <t xml:space="preserve">ALEX GAVALDON       </t>
  </si>
  <si>
    <t xml:space="preserve">ANTHONY LOPEZ       </t>
  </si>
  <si>
    <t xml:space="preserve">MARCOS CARMONA      </t>
  </si>
  <si>
    <t xml:space="preserve">DAVE McCOMBS                  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</si>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</sst>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6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0" xfId="0" applyNumberFormat="1" applyFont="1" applyFill="1" applyAlignment="1">
      <alignment horizontal="center"/>
    </xf>
    <xf numFmtId="3" fontId="2" fillId="0" borderId="0" xfId="0" applyNumberFormat="1" applyFont="1"/>
    <xf numFmtId="0" fontId="2" fillId="0" borderId="1" xfId="0" applyFont="1" applyBorder="1"/>
    <xf numFmtId="166" fontId="2" fillId="0" borderId="1" xfId="0" applyNumberFormat="1" applyFont="1" applyBorder="1"/>
    <xf numFmtId="166" fontId="2" fillId="3" borderId="1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Daniel%20Bertz%20Sharon\payroll%20and%20wages\Commissions\Copy%20of%20Sales%20Goals%202026.xlsx" TargetMode="External"/><Relationship Id="rId1" Type="http://schemas.openxmlformats.org/officeDocument/2006/relationships/externalLinkPath" Target="file:///M:\Daniel%20Bertz%20Sharon\payroll%20and%20wages\Commissions\Copy%20of%20Sales%20Goal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ad"/>
      <sheetName val="CURRENT "/>
      <sheetName val="Pivot"/>
      <sheetName val="Data from budget"/>
    </sheetNames>
    <sheetDataSet>
      <sheetData sheetId="0"/>
      <sheetData sheetId="1">
        <row r="4">
          <cell r="B4">
            <v>184840</v>
          </cell>
          <cell r="C4">
            <v>177471</v>
          </cell>
          <cell r="D4">
            <v>86329</v>
          </cell>
          <cell r="E4">
            <v>135700</v>
          </cell>
          <cell r="F4">
            <v>308200</v>
          </cell>
          <cell r="G4">
            <v>345250</v>
          </cell>
          <cell r="H4">
            <v>77750</v>
          </cell>
          <cell r="I4">
            <v>172000</v>
          </cell>
          <cell r="J4">
            <v>195250</v>
          </cell>
          <cell r="K4">
            <v>195000</v>
          </cell>
          <cell r="L4">
            <v>17500</v>
          </cell>
          <cell r="M4">
            <v>112500</v>
          </cell>
        </row>
        <row r="5">
          <cell r="B5">
            <v>145837</v>
          </cell>
          <cell r="C5">
            <v>101109</v>
          </cell>
          <cell r="D5">
            <v>278144</v>
          </cell>
          <cell r="E5">
            <v>184744</v>
          </cell>
          <cell r="F5">
            <v>90244</v>
          </cell>
          <cell r="G5">
            <v>84244</v>
          </cell>
          <cell r="H5">
            <v>118744</v>
          </cell>
          <cell r="I5">
            <v>92744</v>
          </cell>
          <cell r="J5">
            <v>11744</v>
          </cell>
          <cell r="K5">
            <v>54244</v>
          </cell>
          <cell r="L5">
            <v>4244</v>
          </cell>
          <cell r="M5">
            <v>4244</v>
          </cell>
        </row>
        <row r="6">
          <cell r="B6">
            <v>101777</v>
          </cell>
          <cell r="C6">
            <v>231890</v>
          </cell>
          <cell r="D6">
            <v>332176</v>
          </cell>
          <cell r="E6">
            <v>317884</v>
          </cell>
          <cell r="F6">
            <v>321934</v>
          </cell>
          <cell r="G6">
            <v>197110</v>
          </cell>
          <cell r="H6">
            <v>102510</v>
          </cell>
          <cell r="I6">
            <v>84010</v>
          </cell>
          <cell r="J6">
            <v>200110</v>
          </cell>
          <cell r="K6">
            <v>278610</v>
          </cell>
          <cell r="L6">
            <v>113610</v>
          </cell>
          <cell r="M6">
            <v>38610</v>
          </cell>
        </row>
        <row r="16">
          <cell r="B16">
            <v>20000</v>
          </cell>
          <cell r="C16">
            <v>25000</v>
          </cell>
          <cell r="D16">
            <v>150000</v>
          </cell>
          <cell r="E16">
            <v>140000</v>
          </cell>
          <cell r="F16">
            <v>200000</v>
          </cell>
          <cell r="G16">
            <v>200000</v>
          </cell>
          <cell r="H16">
            <v>350000</v>
          </cell>
          <cell r="I16">
            <v>250000</v>
          </cell>
          <cell r="J16">
            <v>250000</v>
          </cell>
          <cell r="K16">
            <v>275000</v>
          </cell>
          <cell r="L16">
            <v>350000</v>
          </cell>
          <cell r="M16">
            <v>275000</v>
          </cell>
        </row>
        <row r="17">
          <cell r="B17">
            <v>40000</v>
          </cell>
          <cell r="C17">
            <v>50000</v>
          </cell>
          <cell r="D17">
            <v>70000</v>
          </cell>
          <cell r="E17">
            <v>100000</v>
          </cell>
          <cell r="F17">
            <v>225000</v>
          </cell>
          <cell r="G17">
            <v>225000</v>
          </cell>
          <cell r="H17">
            <v>125000</v>
          </cell>
          <cell r="I17">
            <v>125000</v>
          </cell>
          <cell r="J17">
            <v>200000</v>
          </cell>
          <cell r="K17">
            <v>100000</v>
          </cell>
          <cell r="L17">
            <v>100000</v>
          </cell>
          <cell r="M17">
            <v>100000</v>
          </cell>
        </row>
        <row r="18">
          <cell r="B18">
            <v>20000</v>
          </cell>
          <cell r="C18">
            <v>25000</v>
          </cell>
          <cell r="D18">
            <v>25000</v>
          </cell>
          <cell r="E18">
            <v>28750</v>
          </cell>
          <cell r="F18">
            <v>25000</v>
          </cell>
          <cell r="G18">
            <v>84250</v>
          </cell>
          <cell r="H18">
            <v>192500</v>
          </cell>
          <cell r="I18">
            <v>175000</v>
          </cell>
          <cell r="J18">
            <v>82800</v>
          </cell>
          <cell r="K18">
            <v>20000</v>
          </cell>
          <cell r="L18">
            <v>25750</v>
          </cell>
          <cell r="M18">
            <v>120000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40A0-B19A-4DA0-8CB8-252E9257933B}">
  <dimension ref="A2:N9"/>
  <sheetViews>
    <sheetView tabSelected="1" workbookViewId="0">
      <selection activeCell="C18" sqref="C18"/>
    </sheetView>
  </sheetViews>
  <sheetFormatPr defaultRowHeight="15" x14ac:dyDescent="0.25"/>
  <cols>
    <col min="1" max="1" width="24.5703125" customWidth="1"/>
    <col min="2" max="13" width="11.5703125" bestFit="1" customWidth="1"/>
    <col min="14" max="14" width="11.140625" bestFit="1" customWidth="1"/>
  </cols>
  <sheetData>
    <row r="2" spans="1:14" x14ac:dyDescent="0.25">
      <c r="B2" s="1">
        <v>46023</v>
      </c>
      <c r="C2" s="1">
        <v>46055</v>
      </c>
      <c r="D2" s="1">
        <v>46087</v>
      </c>
      <c r="E2" s="1">
        <v>46119</v>
      </c>
      <c r="F2" s="1">
        <v>46151</v>
      </c>
      <c r="G2" s="1">
        <v>46183</v>
      </c>
      <c r="H2" s="1">
        <v>46215</v>
      </c>
      <c r="I2" s="1">
        <v>46247</v>
      </c>
      <c r="J2" s="1">
        <v>46279</v>
      </c>
      <c r="K2" s="1">
        <v>46311</v>
      </c>
      <c r="L2" s="1">
        <v>46343</v>
      </c>
      <c r="M2" s="1">
        <v>46375</v>
      </c>
    </row>
    <row r="3" spans="1:14" x14ac:dyDescent="0.25">
      <c r="A3" s="6" t="s">
        <v>4</v>
      </c>
      <c r="B3" s="2">
        <v>1822462</v>
      </c>
      <c r="C3" s="2">
        <v>2189920</v>
      </c>
      <c r="D3" s="2">
        <v>3175679</v>
      </c>
      <c r="E3" s="2">
        <v>3375158</v>
      </c>
      <c r="F3" s="2">
        <v>3223208</v>
      </c>
      <c r="G3" s="2">
        <v>2676834</v>
      </c>
      <c r="H3" s="2">
        <v>1951984</v>
      </c>
      <c r="I3" s="2">
        <v>2087084</v>
      </c>
      <c r="J3" s="2">
        <v>2837234</v>
      </c>
      <c r="K3" s="2">
        <v>2894934</v>
      </c>
      <c r="L3" s="2">
        <v>2606934</v>
      </c>
      <c r="M3" s="2">
        <v>1616804</v>
      </c>
      <c r="N3" s="5">
        <f>SUM(B3:M3)</f>
        <v>30458235</v>
      </c>
    </row>
    <row r="6" spans="1:14" x14ac:dyDescent="0.25">
      <c r="A6" s="3" t="s">
        <v>0</v>
      </c>
      <c r="B6" s="4">
        <f>'[1]CURRENT '!B4+'[1]CURRENT '!B16</f>
        <v>204840</v>
      </c>
      <c r="C6" s="4">
        <f>'[1]CURRENT '!C4+'[1]CURRENT '!C16</f>
        <v>202471</v>
      </c>
      <c r="D6" s="4">
        <f>'[1]CURRENT '!D4+'[1]CURRENT '!D16</f>
        <v>236329</v>
      </c>
      <c r="E6" s="4">
        <f>'[1]CURRENT '!E4+'[1]CURRENT '!E16</f>
        <v>275700</v>
      </c>
      <c r="F6" s="4">
        <f>'[1]CURRENT '!F4+'[1]CURRENT '!F16</f>
        <v>508200</v>
      </c>
      <c r="G6" s="4">
        <f>'[1]CURRENT '!G4+'[1]CURRENT '!G16</f>
        <v>545250</v>
      </c>
      <c r="H6" s="4">
        <f>'[1]CURRENT '!H4+'[1]CURRENT '!H16</f>
        <v>427750</v>
      </c>
      <c r="I6" s="4">
        <f>'[1]CURRENT '!I4+'[1]CURRENT '!I16</f>
        <v>422000</v>
      </c>
      <c r="J6" s="4">
        <f>'[1]CURRENT '!J4+'[1]CURRENT '!J16</f>
        <v>445250</v>
      </c>
      <c r="K6" s="4">
        <f>'[1]CURRENT '!K4+'[1]CURRENT '!K16</f>
        <v>470000</v>
      </c>
      <c r="L6" s="4">
        <f>'[1]CURRENT '!L4+'[1]CURRENT '!L16</f>
        <v>367500</v>
      </c>
      <c r="M6" s="4">
        <f>'[1]CURRENT '!M4+'[1]CURRENT '!M16</f>
        <v>387500</v>
      </c>
      <c r="N6" s="5">
        <f>SUM(B6:M6)</f>
        <v>4492790</v>
      </c>
    </row>
    <row r="7" spans="1:14" x14ac:dyDescent="0.25">
      <c r="A7" s="3" t="s">
        <v>1</v>
      </c>
      <c r="B7" s="4">
        <f>'[1]CURRENT '!B5+'[1]CURRENT '!B17</f>
        <v>185837</v>
      </c>
      <c r="C7" s="4">
        <f>'[1]CURRENT '!C5+'[1]CURRENT '!C17</f>
        <v>151109</v>
      </c>
      <c r="D7" s="4">
        <f>'[1]CURRENT '!D5+'[1]CURRENT '!D17</f>
        <v>348144</v>
      </c>
      <c r="E7" s="4">
        <f>'[1]CURRENT '!E5+'[1]CURRENT '!E17</f>
        <v>284744</v>
      </c>
      <c r="F7" s="4">
        <f>'[1]CURRENT '!F5+'[1]CURRENT '!F17</f>
        <v>315244</v>
      </c>
      <c r="G7" s="4">
        <f>'[1]CURRENT '!G5+'[1]CURRENT '!G17</f>
        <v>309244</v>
      </c>
      <c r="H7" s="4">
        <f>'[1]CURRENT '!H5+'[1]CURRENT '!H17</f>
        <v>243744</v>
      </c>
      <c r="I7" s="4">
        <f>'[1]CURRENT '!I5+'[1]CURRENT '!I17</f>
        <v>217744</v>
      </c>
      <c r="J7" s="4">
        <f>'[1]CURRENT '!J5+'[1]CURRENT '!J17</f>
        <v>211744</v>
      </c>
      <c r="K7" s="4">
        <f>'[1]CURRENT '!K5+'[1]CURRENT '!K17</f>
        <v>154244</v>
      </c>
      <c r="L7" s="4">
        <f>'[1]CURRENT '!L5+'[1]CURRENT '!L17</f>
        <v>104244</v>
      </c>
      <c r="M7" s="4">
        <f>'[1]CURRENT '!M5+'[1]CURRENT '!M17</f>
        <v>104244</v>
      </c>
      <c r="N7" s="5">
        <f>SUM(B7:M7)</f>
        <v>2630286</v>
      </c>
    </row>
    <row r="8" spans="1:14" x14ac:dyDescent="0.25">
      <c r="A8" s="3" t="s">
        <v>2</v>
      </c>
      <c r="B8" s="4">
        <f>'[1]CURRENT '!B6+'[1]CURRENT '!B18</f>
        <v>121777</v>
      </c>
      <c r="C8" s="4">
        <f>'[1]CURRENT '!C6+'[1]CURRENT '!C18</f>
        <v>256890</v>
      </c>
      <c r="D8" s="4">
        <f>'[1]CURRENT '!D6+'[1]CURRENT '!D18</f>
        <v>357176</v>
      </c>
      <c r="E8" s="4">
        <f>'[1]CURRENT '!E6+'[1]CURRENT '!E18</f>
        <v>346634</v>
      </c>
      <c r="F8" s="4">
        <f>'[1]CURRENT '!F6+'[1]CURRENT '!F18</f>
        <v>346934</v>
      </c>
      <c r="G8" s="4">
        <f>'[1]CURRENT '!G6+'[1]CURRENT '!G18</f>
        <v>281360</v>
      </c>
      <c r="H8" s="4">
        <f>'[1]CURRENT '!H6+'[1]CURRENT '!H18</f>
        <v>295010</v>
      </c>
      <c r="I8" s="4">
        <f>'[1]CURRENT '!I6+'[1]CURRENT '!I18</f>
        <v>259010</v>
      </c>
      <c r="J8" s="4">
        <f>'[1]CURRENT '!J6+'[1]CURRENT '!J18</f>
        <v>282910</v>
      </c>
      <c r="K8" s="4">
        <f>'[1]CURRENT '!K6+'[1]CURRENT '!K18</f>
        <v>298610</v>
      </c>
      <c r="L8" s="4">
        <f>'[1]CURRENT '!L6+'[1]CURRENT '!L18</f>
        <v>139360</v>
      </c>
      <c r="M8" s="4">
        <f>'[1]CURRENT '!M6+'[1]CURRENT '!M18</f>
        <v>158610</v>
      </c>
      <c r="N8" s="5">
        <f>SUM(B8:M8)</f>
        <v>3144281</v>
      </c>
    </row>
    <row r="9" spans="1:14" x14ac:dyDescent="0.25">
      <c r="A9" s="3" t="s">
        <v>3</v>
      </c>
      <c r="B9" s="4">
        <v>160000</v>
      </c>
      <c r="C9" s="4">
        <v>165000</v>
      </c>
      <c r="D9" s="4">
        <v>183750</v>
      </c>
      <c r="E9" s="4">
        <v>199500</v>
      </c>
      <c r="F9" s="4">
        <v>199500</v>
      </c>
      <c r="G9" s="4">
        <v>199500</v>
      </c>
      <c r="H9" s="4">
        <v>199500</v>
      </c>
      <c r="I9" s="4">
        <v>299500</v>
      </c>
      <c r="J9" s="4">
        <v>199500</v>
      </c>
      <c r="K9" s="4">
        <v>199500</v>
      </c>
      <c r="L9" s="4">
        <v>175000</v>
      </c>
      <c r="M9" s="4">
        <v>160000</v>
      </c>
      <c r="N9" s="5">
        <f>SUM(B9:M9)</f>
        <v>2340250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Bertz-Sharon</dc:creator>
  <cp:lastModifiedBy>Daniel Bertz-Sharon</cp:lastModifiedBy>
  <dcterms:created xsi:type="dcterms:W3CDTF">2026-03-19T16:08:35Z</dcterms:created>
  <dcterms:modified xsi:type="dcterms:W3CDTF">2026-03-23T20:21:17Z</dcterms:modified>
</cp:coreProperties>
</file>