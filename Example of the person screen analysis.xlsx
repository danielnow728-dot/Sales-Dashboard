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 Bertz-Sharon\Dropbox\CD- work from home\IT DEVELOPMENT\Sales Meeting\"/>
    </mc:Choice>
  </mc:AlternateContent>
  <xr:revisionPtr revIDLastSave="0" documentId="13_ncr:1_{C63B260C-F9E7-4BD0-AE84-A986DC8FD8AC}" xr6:coauthVersionLast="47" xr6:coauthVersionMax="47" xr10:uidLastSave="{00000000-0000-0000-0000-000000000000}"/>
  <bookViews>
    <workbookView xWindow="-120" yWindow="-120" windowWidth="29040" windowHeight="15840" xr2:uid="{56A04E6C-98D0-461E-A83A-49C7D8ACD765}"/>
  </bookViews>
  <sheets>
    <sheet name="Sales Detail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H15" i="1" s="1"/>
  <c r="E7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</calcChain>
</file>

<file path=xl/sharedStrings.xml><?xml version="1.0" encoding="utf-8"?>
<sst xmlns="http://schemas.openxmlformats.org/spreadsheetml/2006/main" count="66" uniqueCount="51">
  <si>
    <t>Salesperson:</t>
  </si>
  <si>
    <t>ALEX GAVALDON</t>
  </si>
  <si>
    <t>Top 10 Customers</t>
  </si>
  <si>
    <t>Date Range:</t>
  </si>
  <si>
    <t>to</t>
  </si>
  <si>
    <t>Rank</t>
  </si>
  <si>
    <t>Customer</t>
  </si>
  <si>
    <t>Invoiced Amt.</t>
  </si>
  <si>
    <t>Total Invoiced:</t>
  </si>
  <si>
    <t>Total Costs:</t>
  </si>
  <si>
    <t>Profit Margin:</t>
  </si>
  <si>
    <t>Rental Invoicing</t>
  </si>
  <si>
    <t xml:space="preserve">DENVER COMMERCIAL PROPERTY SERVICES   </t>
  </si>
  <si>
    <t xml:space="preserve">RG BRINKMANN CONSTRUCTORS               </t>
  </si>
  <si>
    <t xml:space="preserve">RUDD CONSTRUCTION INC                   </t>
  </si>
  <si>
    <t xml:space="preserve">GGP ROOFING DBA MONROE ROOFING CO       </t>
  </si>
  <si>
    <t xml:space="preserve">SWINERTON BUILDERS                      </t>
  </si>
  <si>
    <t xml:space="preserve">PINKARD CONSTRUCTION                    </t>
  </si>
  <si>
    <t>SACHSE CONSTRUCTION AND DEVELOPMENT</t>
  </si>
  <si>
    <t xml:space="preserve">PCL CONSTRUCTION SERVICES INC           </t>
  </si>
  <si>
    <t xml:space="preserve">SPYDER CONSTRUCTION, LLC                </t>
  </si>
  <si>
    <t xml:space="preserve">STRUCTURAL PRESERVATION SYSTEMS LLC    </t>
  </si>
  <si>
    <t>BRCO-P501</t>
  </si>
  <si>
    <t>SPCO-P503</t>
  </si>
  <si>
    <t>HENS-P502</t>
  </si>
  <si>
    <t>PCCO-P503</t>
  </si>
  <si>
    <t>SWIN-P502</t>
  </si>
  <si>
    <t>FRFP-P502</t>
  </si>
  <si>
    <t>HOLD-P501</t>
  </si>
  <si>
    <t>BRCO-P502</t>
  </si>
  <si>
    <t>BRCO-P401</t>
  </si>
  <si>
    <t>DPSD-P501</t>
  </si>
  <si>
    <t>GSCM-P401</t>
  </si>
  <si>
    <t>Total Labor Income</t>
  </si>
  <si>
    <t>Total Labor Costs</t>
  </si>
  <si>
    <t>Profit Margin on Labor:</t>
  </si>
  <si>
    <t>Top jobs</t>
  </si>
  <si>
    <t>Client</t>
  </si>
  <si>
    <t xml:space="preserve">Job </t>
  </si>
  <si>
    <t xml:space="preserve">Description </t>
  </si>
  <si>
    <t xml:space="preserve">Invoiced </t>
  </si>
  <si>
    <t xml:space="preserve">BRINKMANN WELTON ST CONDOS-S  </t>
  </si>
  <si>
    <t>Cost</t>
  </si>
  <si>
    <t>Gross Profit</t>
  </si>
  <si>
    <t>%</t>
  </si>
  <si>
    <t xml:space="preserve">Rental Income </t>
  </si>
  <si>
    <t>Labor Margin</t>
  </si>
  <si>
    <t>Labor Cost</t>
  </si>
  <si>
    <t>Other Costs</t>
  </si>
  <si>
    <t>Labor Income</t>
  </si>
  <si>
    <t>Non Labor or Rent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</si>
</sst>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.0_);_(&quot;$&quot;* \(#,##0.0\);_(&quot;$&quot;* &quot;-&quot;??_);_(@_)"/>
    <numFmt numFmtId="165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3" fillId="2" borderId="0" xfId="0" applyFont="1" applyFill="1"/>
    <xf numFmtId="0" fontId="0" fillId="2" borderId="0" xfId="0" applyFill="1"/>
    <xf numFmtId="0" fontId="4" fillId="2" borderId="0" xfId="0" applyFont="1" applyFill="1"/>
    <xf numFmtId="0" fontId="5" fillId="3" borderId="1" xfId="0" applyFont="1" applyFill="1" applyBorder="1"/>
    <xf numFmtId="0" fontId="5" fillId="2" borderId="0" xfId="0" applyFont="1" applyFill="1"/>
    <xf numFmtId="0" fontId="6" fillId="2" borderId="0" xfId="0" applyFont="1" applyFill="1"/>
    <xf numFmtId="0" fontId="2" fillId="3" borderId="4" xfId="0" applyFont="1" applyFill="1" applyBorder="1"/>
    <xf numFmtId="14" fontId="0" fillId="5" borderId="5" xfId="0" applyNumberForma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4" fontId="0" fillId="5" borderId="6" xfId="0" applyNumberFormat="1" applyFill="1" applyBorder="1" applyAlignment="1">
      <alignment horizontal="center"/>
    </xf>
    <xf numFmtId="0" fontId="2" fillId="6" borderId="7" xfId="0" applyFont="1" applyFill="1" applyBorder="1"/>
    <xf numFmtId="0" fontId="2" fillId="6" borderId="9" xfId="0" applyFont="1" applyFill="1" applyBorder="1"/>
    <xf numFmtId="0" fontId="0" fillId="0" borderId="10" xfId="0" applyBorder="1"/>
    <xf numFmtId="44" fontId="0" fillId="0" borderId="12" xfId="0" applyNumberFormat="1" applyBorder="1"/>
    <xf numFmtId="0" fontId="2" fillId="4" borderId="1" xfId="0" applyFont="1" applyFill="1" applyBorder="1"/>
    <xf numFmtId="44" fontId="0" fillId="0" borderId="2" xfId="0" applyNumberFormat="1" applyBorder="1"/>
    <xf numFmtId="0" fontId="0" fillId="3" borderId="13" xfId="0" applyFill="1" applyBorder="1"/>
    <xf numFmtId="44" fontId="0" fillId="3" borderId="15" xfId="0" applyNumberFormat="1" applyFill="1" applyBorder="1"/>
    <xf numFmtId="0" fontId="2" fillId="4" borderId="13" xfId="0" applyFont="1" applyFill="1" applyBorder="1"/>
    <xf numFmtId="44" fontId="0" fillId="0" borderId="14" xfId="0" applyNumberFormat="1" applyBorder="1"/>
    <xf numFmtId="0" fontId="0" fillId="0" borderId="13" xfId="0" applyBorder="1"/>
    <xf numFmtId="44" fontId="0" fillId="0" borderId="15" xfId="0" applyNumberFormat="1" applyBorder="1"/>
    <xf numFmtId="0" fontId="2" fillId="4" borderId="4" xfId="0" applyFont="1" applyFill="1" applyBorder="1"/>
    <xf numFmtId="10" fontId="0" fillId="0" borderId="16" xfId="0" applyNumberFormat="1" applyBorder="1" applyAlignment="1">
      <alignment horizontal="center"/>
    </xf>
    <xf numFmtId="0" fontId="2" fillId="2" borderId="0" xfId="0" applyFont="1" applyFill="1"/>
    <xf numFmtId="10" fontId="0" fillId="2" borderId="0" xfId="0" applyNumberFormat="1" applyFill="1" applyAlignment="1">
      <alignment horizontal="center"/>
    </xf>
    <xf numFmtId="0" fontId="0" fillId="3" borderId="4" xfId="0" applyFill="1" applyBorder="1"/>
    <xf numFmtId="44" fontId="0" fillId="3" borderId="6" xfId="0" applyNumberFormat="1" applyFill="1" applyBorder="1"/>
    <xf numFmtId="0" fontId="2" fillId="7" borderId="7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4" fontId="0" fillId="3" borderId="14" xfId="0" applyNumberFormat="1" applyFill="1" applyBorder="1" applyAlignment="1">
      <alignment horizontal="center"/>
    </xf>
    <xf numFmtId="0" fontId="0" fillId="0" borderId="13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164" fontId="0" fillId="0" borderId="17" xfId="1" applyNumberFormat="1" applyFont="1" applyBorder="1" applyAlignment="1">
      <alignment horizontal="center"/>
    </xf>
    <xf numFmtId="0" fontId="2" fillId="6" borderId="8" xfId="0" applyFont="1" applyFill="1" applyBorder="1"/>
    <xf numFmtId="0" fontId="0" fillId="0" borderId="11" xfId="0" applyBorder="1"/>
    <xf numFmtId="0" fontId="0" fillId="3" borderId="14" xfId="0" applyFill="1" applyBorder="1"/>
    <xf numFmtId="0" fontId="0" fillId="0" borderId="14" xfId="0" applyBorder="1"/>
    <xf numFmtId="165" fontId="0" fillId="0" borderId="11" xfId="1" applyNumberFormat="1" applyFont="1" applyBorder="1" applyAlignment="1">
      <alignment horizontal="center"/>
    </xf>
    <xf numFmtId="0" fontId="2" fillId="7" borderId="20" xfId="0" applyFont="1" applyFill="1" applyBorder="1" applyAlignment="1">
      <alignment horizontal="center"/>
    </xf>
    <xf numFmtId="165" fontId="0" fillId="0" borderId="17" xfId="1" applyNumberFormat="1" applyFont="1" applyBorder="1" applyAlignment="1">
      <alignment horizontal="center"/>
    </xf>
    <xf numFmtId="14" fontId="0" fillId="3" borderId="21" xfId="0" applyNumberFormat="1" applyFill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9" fontId="0" fillId="0" borderId="17" xfId="2" applyFont="1" applyBorder="1" applyAlignment="1">
      <alignment horizontal="center"/>
    </xf>
    <xf numFmtId="0" fontId="2" fillId="6" borderId="20" xfId="0" applyFont="1" applyFill="1" applyBorder="1"/>
    <xf numFmtId="0" fontId="0" fillId="0" borderId="17" xfId="0" applyBorder="1"/>
    <xf numFmtId="0" fontId="0" fillId="3" borderId="21" xfId="0" applyFill="1" applyBorder="1"/>
    <xf numFmtId="0" fontId="0" fillId="0" borderId="21" xfId="0" applyBorder="1"/>
    <xf numFmtId="0" fontId="0" fillId="3" borderId="16" xfId="0" applyFill="1" applyBorder="1"/>
    <xf numFmtId="165" fontId="0" fillId="0" borderId="0" xfId="1" applyNumberFormat="1" applyFont="1" applyBorder="1" applyAlignment="1">
      <alignment horizontal="center"/>
    </xf>
    <xf numFmtId="14" fontId="0" fillId="3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0" fontId="2" fillId="7" borderId="20" xfId="0" applyFont="1" applyFill="1" applyBorder="1" applyAlignment="1">
      <alignment horizontal="center" wrapText="1"/>
    </xf>
    <xf numFmtId="0" fontId="0" fillId="3" borderId="5" xfId="0" applyFill="1" applyBorder="1"/>
    <xf numFmtId="0" fontId="5" fillId="7" borderId="18" xfId="0" applyFont="1" applyFill="1" applyBorder="1" applyAlignment="1">
      <alignment horizontal="center"/>
    </xf>
    <xf numFmtId="0" fontId="5" fillId="7" borderId="19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niel%20Bertz-Sharon\Dropbox\CD-%20work%20from%20home\IT%20DEVELOPMENT\Sales%20Meeting\Sales%20Overview%20260113.xlsx" TargetMode="External"/><Relationship Id="rId1" Type="http://schemas.openxmlformats.org/officeDocument/2006/relationships/externalLinkPath" Target="Sales%20Overview%202601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 of B&amp;C"/>
      <sheetName val="SA by Job"/>
      <sheetName val="SA by Inv"/>
      <sheetName val="SA by Tax"/>
      <sheetName val="JC Query"/>
      <sheetName val="WIP"/>
      <sheetName val="Retail"/>
      <sheetName val="Cust List"/>
      <sheetName val="Processing"/>
      <sheetName val="Lists"/>
      <sheetName val="Pivots"/>
      <sheetName val="Budgets"/>
      <sheetName val="Revised Budgets 24"/>
      <sheetName val="Sales Detail"/>
      <sheetName val="Summary"/>
      <sheetName val="Race to $1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B3">
            <v>1.01</v>
          </cell>
        </row>
        <row r="4">
          <cell r="B4">
            <v>2.0099999999999998</v>
          </cell>
        </row>
        <row r="5">
          <cell r="B5">
            <v>2.02</v>
          </cell>
        </row>
        <row r="6">
          <cell r="B6">
            <v>4.01</v>
          </cell>
        </row>
        <row r="7">
          <cell r="B7">
            <v>4.0199999999999996</v>
          </cell>
        </row>
        <row r="8">
          <cell r="B8">
            <v>4.03</v>
          </cell>
        </row>
        <row r="9">
          <cell r="B9">
            <v>4.04</v>
          </cell>
        </row>
        <row r="10">
          <cell r="B10">
            <v>4.05</v>
          </cell>
        </row>
        <row r="11">
          <cell r="B11">
            <v>4.0599999999999996</v>
          </cell>
        </row>
        <row r="12">
          <cell r="B12">
            <v>10.01</v>
          </cell>
        </row>
        <row r="13">
          <cell r="B13">
            <v>11.01</v>
          </cell>
        </row>
        <row r="14">
          <cell r="B14">
            <v>11.02</v>
          </cell>
        </row>
        <row r="15">
          <cell r="B15">
            <v>11.03</v>
          </cell>
        </row>
        <row r="16">
          <cell r="B16">
            <v>11.04</v>
          </cell>
        </row>
        <row r="17">
          <cell r="B17">
            <v>15.01</v>
          </cell>
        </row>
        <row r="18">
          <cell r="B18">
            <v>16.010000000000002</v>
          </cell>
        </row>
        <row r="19">
          <cell r="B19">
            <v>16.02</v>
          </cell>
        </row>
        <row r="20">
          <cell r="B20">
            <v>16.03</v>
          </cell>
        </row>
        <row r="21">
          <cell r="B21">
            <v>16.04</v>
          </cell>
        </row>
        <row r="22">
          <cell r="B22">
            <v>16.05</v>
          </cell>
        </row>
        <row r="23">
          <cell r="B23">
            <v>16.059999999999999</v>
          </cell>
        </row>
        <row r="24">
          <cell r="B24">
            <v>22.01</v>
          </cell>
        </row>
        <row r="25">
          <cell r="B25">
            <v>22.02</v>
          </cell>
        </row>
        <row r="26">
          <cell r="B26">
            <v>22.03</v>
          </cell>
        </row>
        <row r="27">
          <cell r="B27">
            <v>22.04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5E69-D415-494A-B00A-37320A5A0F0E}">
  <dimension ref="A1:N39"/>
  <sheetViews>
    <sheetView tabSelected="1" workbookViewId="0">
      <selection activeCell="D11" sqref="D11"/>
    </sheetView>
  </sheetViews>
  <sheetFormatPr defaultRowHeight="15" x14ac:dyDescent="0.25"/>
  <cols>
    <col min="1" max="1" width="3.7109375" style="1" customWidth="1"/>
    <col min="2" max="2" width="37" style="2" bestFit="1" customWidth="1"/>
    <col min="3" max="3" width="15.7109375" style="2" customWidth="1"/>
    <col min="4" max="4" width="34.28515625" style="2" bestFit="1" customWidth="1"/>
    <col min="5" max="5" width="14.28515625" style="2" bestFit="1" customWidth="1"/>
    <col min="6" max="6" width="10" style="2" bestFit="1" customWidth="1"/>
    <col min="7" max="9" width="15.7109375" style="2" customWidth="1"/>
    <col min="10" max="10" width="12.28515625" style="2" customWidth="1"/>
    <col min="11" max="11" width="14.42578125" style="2" customWidth="1"/>
    <col min="12" max="12" width="13.28515625" style="2" customWidth="1"/>
    <col min="13" max="13" width="12.7109375" style="2" customWidth="1"/>
    <col min="14" max="15" width="20.7109375" style="2" customWidth="1"/>
    <col min="16" max="16" width="15.7109375" style="2" customWidth="1"/>
    <col min="17" max="17" width="10.7109375" style="2" bestFit="1" customWidth="1"/>
    <col min="18" max="18" width="12.5703125" style="2" bestFit="1" customWidth="1"/>
    <col min="19" max="16384" width="9.140625" style="2"/>
  </cols>
  <sheetData>
    <row r="1" spans="1:14" ht="16.5" thickBot="1" x14ac:dyDescent="0.3">
      <c r="G1" s="5" t="s">
        <v>2</v>
      </c>
      <c r="H1" s="6"/>
      <c r="I1" s="6"/>
      <c r="J1" s="6"/>
      <c r="K1" s="6"/>
      <c r="L1" s="6"/>
    </row>
    <row r="2" spans="1:14" s="6" customFormat="1" ht="16.5" thickBot="1" x14ac:dyDescent="0.3">
      <c r="A2" s="3"/>
      <c r="B2" s="4" t="s">
        <v>0</v>
      </c>
      <c r="C2" s="63" t="s">
        <v>1</v>
      </c>
      <c r="D2" s="63"/>
      <c r="E2" s="64"/>
      <c r="F2" s="2"/>
      <c r="G2" s="11" t="s">
        <v>5</v>
      </c>
      <c r="H2" s="40" t="s">
        <v>6</v>
      </c>
      <c r="I2" s="40"/>
      <c r="J2" s="51"/>
      <c r="K2" s="12" t="s">
        <v>7</v>
      </c>
      <c r="L2" s="2"/>
    </row>
    <row r="3" spans="1:14" ht="16.5" thickTop="1" thickBot="1" x14ac:dyDescent="0.3">
      <c r="B3" s="7" t="s">
        <v>3</v>
      </c>
      <c r="C3" s="8">
        <v>45658</v>
      </c>
      <c r="D3" s="9" t="s">
        <v>4</v>
      </c>
      <c r="E3" s="10">
        <v>46022</v>
      </c>
      <c r="G3" s="13">
        <v>1</v>
      </c>
      <c r="H3" s="41" t="s">
        <v>12</v>
      </c>
      <c r="I3" s="41"/>
      <c r="J3" s="52"/>
      <c r="K3" s="14">
        <v>1044094.73</v>
      </c>
    </row>
    <row r="4" spans="1:14" ht="15.75" thickBot="1" x14ac:dyDescent="0.3">
      <c r="G4" s="17">
        <v>2</v>
      </c>
      <c r="H4" s="42" t="s">
        <v>13</v>
      </c>
      <c r="I4" s="42"/>
      <c r="J4" s="53"/>
      <c r="K4" s="18">
        <v>760349.64000000013</v>
      </c>
    </row>
    <row r="5" spans="1:14" x14ac:dyDescent="0.25">
      <c r="B5" s="15" t="s">
        <v>8</v>
      </c>
      <c r="C5" s="16">
        <v>4114378.3899999992</v>
      </c>
      <c r="D5" s="15" t="s">
        <v>33</v>
      </c>
      <c r="E5" s="16">
        <v>3000000</v>
      </c>
      <c r="G5" s="21">
        <v>3</v>
      </c>
      <c r="H5" s="43" t="s">
        <v>14</v>
      </c>
      <c r="I5" s="43"/>
      <c r="J5" s="54"/>
      <c r="K5" s="22">
        <v>371255.33000000007</v>
      </c>
    </row>
    <row r="6" spans="1:14" x14ac:dyDescent="0.25">
      <c r="B6" s="19" t="s">
        <v>9</v>
      </c>
      <c r="C6" s="20">
        <v>2131506.9900000016</v>
      </c>
      <c r="D6" s="19" t="s">
        <v>34</v>
      </c>
      <c r="E6" s="20">
        <v>2500000</v>
      </c>
      <c r="G6" s="17">
        <v>4</v>
      </c>
      <c r="H6" s="42" t="s">
        <v>15</v>
      </c>
      <c r="I6" s="42"/>
      <c r="J6" s="53"/>
      <c r="K6" s="18">
        <v>337170.13</v>
      </c>
    </row>
    <row r="7" spans="1:14" ht="15.75" thickBot="1" x14ac:dyDescent="0.3">
      <c r="B7" s="23" t="s">
        <v>10</v>
      </c>
      <c r="C7" s="24">
        <v>0.48193705392274289</v>
      </c>
      <c r="D7" s="23" t="s">
        <v>35</v>
      </c>
      <c r="E7" s="24">
        <f>(E5-E6)/E5</f>
        <v>0.16666666666666666</v>
      </c>
      <c r="G7" s="21">
        <v>5</v>
      </c>
      <c r="H7" s="43" t="s">
        <v>16</v>
      </c>
      <c r="I7" s="43"/>
      <c r="J7" s="54"/>
      <c r="K7" s="22">
        <v>251479.21999999997</v>
      </c>
    </row>
    <row r="8" spans="1:14" ht="15.75" thickBot="1" x14ac:dyDescent="0.3">
      <c r="B8" s="25"/>
      <c r="C8" s="26"/>
      <c r="G8" s="17">
        <v>6</v>
      </c>
      <c r="H8" s="42" t="s">
        <v>17</v>
      </c>
      <c r="I8" s="42"/>
      <c r="J8" s="53"/>
      <c r="K8" s="18">
        <v>195443.17</v>
      </c>
    </row>
    <row r="9" spans="1:14" ht="15.75" x14ac:dyDescent="0.25">
      <c r="B9" s="61" t="s">
        <v>11</v>
      </c>
      <c r="C9" s="62"/>
      <c r="D9" s="39">
        <v>400000</v>
      </c>
      <c r="G9" s="21">
        <v>7</v>
      </c>
      <c r="H9" s="43" t="s">
        <v>18</v>
      </c>
      <c r="I9" s="43"/>
      <c r="J9" s="54"/>
      <c r="K9" s="22">
        <v>122606.37000000002</v>
      </c>
    </row>
    <row r="10" spans="1:14" x14ac:dyDescent="0.25">
      <c r="G10" s="17">
        <v>8</v>
      </c>
      <c r="H10" s="42" t="s">
        <v>19</v>
      </c>
      <c r="I10" s="42"/>
      <c r="J10" s="53"/>
      <c r="K10" s="18">
        <v>117520.56000000001</v>
      </c>
    </row>
    <row r="11" spans="1:14" x14ac:dyDescent="0.25">
      <c r="B11" s="1"/>
      <c r="C11" s="1"/>
      <c r="D11" s="1"/>
      <c r="E11" s="1"/>
      <c r="G11" s="21">
        <v>9</v>
      </c>
      <c r="H11" s="43" t="s">
        <v>20</v>
      </c>
      <c r="I11" s="43"/>
      <c r="J11" s="54"/>
      <c r="K11" s="22">
        <v>102719.12000000001</v>
      </c>
    </row>
    <row r="12" spans="1:14" ht="15.75" thickBot="1" x14ac:dyDescent="0.3">
      <c r="B12" s="25" t="s">
        <v>36</v>
      </c>
      <c r="G12" s="27">
        <v>10</v>
      </c>
      <c r="H12" s="60" t="s">
        <v>21</v>
      </c>
      <c r="I12" s="60"/>
      <c r="J12" s="55"/>
      <c r="K12" s="28">
        <v>99890.1</v>
      </c>
    </row>
    <row r="13" spans="1:14" ht="15.75" thickBot="1" x14ac:dyDescent="0.3">
      <c r="B13" s="25"/>
    </row>
    <row r="14" spans="1:14" ht="30.75" thickBot="1" x14ac:dyDescent="0.3">
      <c r="B14" s="29" t="s">
        <v>37</v>
      </c>
      <c r="C14" s="30" t="s">
        <v>38</v>
      </c>
      <c r="D14" s="30" t="s">
        <v>39</v>
      </c>
      <c r="E14" s="30" t="s">
        <v>40</v>
      </c>
      <c r="F14" s="45" t="s">
        <v>42</v>
      </c>
      <c r="G14" s="45" t="s">
        <v>43</v>
      </c>
      <c r="H14" s="45" t="s">
        <v>44</v>
      </c>
      <c r="I14" s="45" t="s">
        <v>45</v>
      </c>
      <c r="J14" s="45" t="s">
        <v>49</v>
      </c>
      <c r="K14" s="59" t="s">
        <v>50</v>
      </c>
      <c r="L14" s="45" t="s">
        <v>47</v>
      </c>
      <c r="M14" s="45" t="s">
        <v>48</v>
      </c>
      <c r="N14" s="45" t="s">
        <v>46</v>
      </c>
    </row>
    <row r="15" spans="1:14" ht="15.75" thickTop="1" x14ac:dyDescent="0.25">
      <c r="A15" s="1">
        <f>IF(AND([1]Pivots!B3&lt;&gt;"",[1]Pivots!B3&lt;&gt;"!!!",[1]Pivots!B3&lt;&gt;"Grand Total"),[1]Pivots!B3,"")</f>
        <v>1.01</v>
      </c>
      <c r="B15" s="42" t="s">
        <v>13</v>
      </c>
      <c r="C15" s="31" t="s">
        <v>22</v>
      </c>
      <c r="D15" s="32" t="s">
        <v>41</v>
      </c>
      <c r="E15" s="44">
        <v>300000</v>
      </c>
      <c r="F15" s="46">
        <v>200000</v>
      </c>
      <c r="G15" s="46">
        <f>E15-F15</f>
        <v>100000</v>
      </c>
      <c r="H15" s="50">
        <f>G15/E15</f>
        <v>0.33333333333333331</v>
      </c>
      <c r="I15" s="46">
        <v>50000</v>
      </c>
      <c r="J15" s="46"/>
      <c r="K15" s="46"/>
      <c r="L15" s="46"/>
      <c r="M15" s="46"/>
      <c r="N15" s="50">
        <v>0.05</v>
      </c>
    </row>
    <row r="16" spans="1:14" x14ac:dyDescent="0.25">
      <c r="A16" s="1">
        <f>IF(AND([1]Pivots!B4&lt;&gt;"",[1]Pivots!B4&lt;&gt;"!!!",[1]Pivots!B4&lt;&gt;"Grand Total"),[1]Pivots!B4,"")</f>
        <v>2.0099999999999998</v>
      </c>
      <c r="B16" s="33"/>
      <c r="C16" s="33" t="s">
        <v>23</v>
      </c>
      <c r="D16" s="34"/>
      <c r="E16" s="34"/>
      <c r="F16" s="47"/>
      <c r="G16" s="47"/>
      <c r="H16" s="47"/>
      <c r="I16" s="47"/>
      <c r="J16" s="57"/>
      <c r="K16" s="56"/>
      <c r="L16" s="56"/>
      <c r="M16" s="56"/>
      <c r="N16" s="47"/>
    </row>
    <row r="17" spans="1:14" x14ac:dyDescent="0.25">
      <c r="A17" s="1">
        <f>IF(AND([1]Pivots!B5&lt;&gt;"",[1]Pivots!B5&lt;&gt;"!!!",[1]Pivots!B5&lt;&gt;"Grand Total"),[1]Pivots!B5,"")</f>
        <v>2.02</v>
      </c>
      <c r="B17" s="35"/>
      <c r="C17" s="35" t="s">
        <v>23</v>
      </c>
      <c r="D17" s="36"/>
      <c r="E17" s="36"/>
      <c r="F17" s="48"/>
      <c r="G17" s="48"/>
      <c r="H17" s="48"/>
      <c r="I17" s="48"/>
      <c r="J17" s="58"/>
      <c r="K17" s="56"/>
      <c r="L17" s="56"/>
      <c r="M17" s="56"/>
      <c r="N17" s="48"/>
    </row>
    <row r="18" spans="1:14" x14ac:dyDescent="0.25">
      <c r="A18" s="1">
        <f>IF(AND([1]Pivots!B6&lt;&gt;"",[1]Pivots!B6&lt;&gt;"!!!",[1]Pivots!B6&lt;&gt;"Grand Total"),[1]Pivots!B6,"")</f>
        <v>4.01</v>
      </c>
      <c r="B18" s="33"/>
      <c r="C18" s="33" t="s">
        <v>24</v>
      </c>
      <c r="D18" s="34"/>
      <c r="E18" s="34"/>
      <c r="F18" s="47"/>
      <c r="G18" s="47"/>
      <c r="H18" s="47"/>
      <c r="I18" s="47"/>
      <c r="J18" s="57"/>
      <c r="K18" s="56"/>
      <c r="L18" s="56"/>
      <c r="M18" s="56"/>
      <c r="N18" s="47"/>
    </row>
    <row r="19" spans="1:14" x14ac:dyDescent="0.25">
      <c r="A19" s="1">
        <f>IF(AND([1]Pivots!B7&lt;&gt;"",[1]Pivots!B7&lt;&gt;"!!!",[1]Pivots!B7&lt;&gt;"Grand Total"),[1]Pivots!B7,"")</f>
        <v>4.0199999999999996</v>
      </c>
      <c r="B19" s="35"/>
      <c r="C19" s="35" t="s">
        <v>24</v>
      </c>
      <c r="D19" s="36"/>
      <c r="E19" s="36"/>
      <c r="F19" s="48"/>
      <c r="G19" s="48"/>
      <c r="H19" s="48"/>
      <c r="I19" s="48"/>
      <c r="J19" s="58"/>
      <c r="K19" s="56"/>
      <c r="L19" s="56"/>
      <c r="M19" s="56"/>
      <c r="N19" s="48"/>
    </row>
    <row r="20" spans="1:14" x14ac:dyDescent="0.25">
      <c r="A20" s="1">
        <f>IF(AND([1]Pivots!B8&lt;&gt;"",[1]Pivots!B8&lt;&gt;"!!!",[1]Pivots!B8&lt;&gt;"Grand Total"),[1]Pivots!B8,"")</f>
        <v>4.03</v>
      </c>
      <c r="B20" s="33"/>
      <c r="C20" s="33" t="s">
        <v>24</v>
      </c>
      <c r="D20" s="34"/>
      <c r="E20" s="34"/>
      <c r="F20" s="47"/>
      <c r="G20" s="47"/>
      <c r="H20" s="47"/>
      <c r="I20" s="47"/>
      <c r="J20" s="57"/>
      <c r="K20" s="56"/>
      <c r="L20" s="56"/>
      <c r="M20" s="56"/>
      <c r="N20" s="47"/>
    </row>
    <row r="21" spans="1:14" x14ac:dyDescent="0.25">
      <c r="A21" s="1">
        <f>IF(AND([1]Pivots!B9&lt;&gt;"",[1]Pivots!B9&lt;&gt;"!!!",[1]Pivots!B9&lt;&gt;"Grand Total"),[1]Pivots!B9,"")</f>
        <v>4.04</v>
      </c>
      <c r="B21" s="35"/>
      <c r="C21" s="35" t="s">
        <v>24</v>
      </c>
      <c r="D21" s="36"/>
      <c r="E21" s="36"/>
      <c r="F21" s="36"/>
      <c r="G21" s="36"/>
      <c r="H21" s="36"/>
      <c r="I21" s="36"/>
      <c r="J21" s="58"/>
      <c r="K21" s="56"/>
      <c r="L21" s="56"/>
      <c r="M21" s="56"/>
      <c r="N21" s="36"/>
    </row>
    <row r="22" spans="1:14" x14ac:dyDescent="0.25">
      <c r="A22" s="1">
        <f>IF(AND([1]Pivots!B10&lt;&gt;"",[1]Pivots!B10&lt;&gt;"!!!",[1]Pivots!B10&lt;&gt;"Grand Total"),[1]Pivots!B10,"")</f>
        <v>4.05</v>
      </c>
      <c r="B22" s="33"/>
      <c r="C22" s="33" t="s">
        <v>26</v>
      </c>
      <c r="D22" s="34"/>
      <c r="E22" s="34"/>
      <c r="F22" s="47"/>
      <c r="G22" s="47"/>
      <c r="H22" s="47"/>
      <c r="I22" s="47"/>
      <c r="J22" s="57"/>
      <c r="K22" s="56"/>
      <c r="L22" s="56"/>
      <c r="M22" s="56"/>
      <c r="N22" s="47"/>
    </row>
    <row r="23" spans="1:14" x14ac:dyDescent="0.25">
      <c r="A23" s="1">
        <f>IF(AND([1]Pivots!B11&lt;&gt;"",[1]Pivots!B11&lt;&gt;"!!!",[1]Pivots!B11&lt;&gt;"Grand Total"),[1]Pivots!B11,"")</f>
        <v>4.0599999999999996</v>
      </c>
      <c r="B23" s="35"/>
      <c r="C23" s="35" t="s">
        <v>25</v>
      </c>
      <c r="D23" s="36"/>
      <c r="E23" s="36"/>
      <c r="F23" s="48"/>
      <c r="G23" s="48"/>
      <c r="H23" s="48"/>
      <c r="I23" s="48"/>
      <c r="J23" s="58"/>
      <c r="K23" s="56"/>
      <c r="L23" s="56"/>
      <c r="M23" s="56"/>
      <c r="N23" s="48"/>
    </row>
    <row r="24" spans="1:14" x14ac:dyDescent="0.25">
      <c r="A24" s="1">
        <f>IF(AND([1]Pivots!B12&lt;&gt;"",[1]Pivots!B12&lt;&gt;"!!!",[1]Pivots!B12&lt;&gt;"Grand Total"),[1]Pivots!B12,"")</f>
        <v>10.01</v>
      </c>
      <c r="B24" s="33"/>
      <c r="C24" s="33" t="s">
        <v>27</v>
      </c>
      <c r="D24" s="34"/>
      <c r="E24" s="34"/>
      <c r="F24" s="47"/>
      <c r="G24" s="47"/>
      <c r="H24" s="47"/>
      <c r="I24" s="47"/>
      <c r="J24" s="57"/>
      <c r="K24" s="56"/>
      <c r="L24" s="56"/>
      <c r="M24" s="56"/>
      <c r="N24" s="47"/>
    </row>
    <row r="25" spans="1:14" x14ac:dyDescent="0.25">
      <c r="A25" s="1">
        <f>IF(AND([1]Pivots!B13&lt;&gt;"",[1]Pivots!B13&lt;&gt;"!!!",[1]Pivots!B13&lt;&gt;"Grand Total"),[1]Pivots!B13,"")</f>
        <v>11.01</v>
      </c>
      <c r="B25" s="35"/>
      <c r="C25" s="35" t="s">
        <v>28</v>
      </c>
      <c r="D25" s="36"/>
      <c r="E25" s="36"/>
      <c r="F25" s="48"/>
      <c r="G25" s="48"/>
      <c r="H25" s="48"/>
      <c r="I25" s="48"/>
      <c r="J25" s="58"/>
      <c r="K25" s="56"/>
      <c r="L25" s="56"/>
      <c r="M25" s="56"/>
      <c r="N25" s="48"/>
    </row>
    <row r="26" spans="1:14" x14ac:dyDescent="0.25">
      <c r="A26" s="1">
        <f>IF(AND([1]Pivots!B14&lt;&gt;"",[1]Pivots!B14&lt;&gt;"!!!",[1]Pivots!B14&lt;&gt;"Grand Total"),[1]Pivots!B14,"")</f>
        <v>11.02</v>
      </c>
      <c r="B26" s="33"/>
      <c r="C26" s="33" t="s">
        <v>28</v>
      </c>
      <c r="D26" s="34"/>
      <c r="E26" s="34"/>
      <c r="F26" s="47"/>
      <c r="G26" s="47"/>
      <c r="H26" s="47"/>
      <c r="I26" s="47"/>
      <c r="J26" s="57"/>
      <c r="K26" s="56"/>
      <c r="L26" s="56"/>
      <c r="M26" s="56"/>
      <c r="N26" s="47"/>
    </row>
    <row r="27" spans="1:14" x14ac:dyDescent="0.25">
      <c r="A27" s="1">
        <f>IF(AND([1]Pivots!B15&lt;&gt;"",[1]Pivots!B15&lt;&gt;"!!!",[1]Pivots!B15&lt;&gt;"Grand Total"),[1]Pivots!B15,"")</f>
        <v>11.03</v>
      </c>
      <c r="B27" s="35"/>
      <c r="C27" s="35" t="s">
        <v>28</v>
      </c>
      <c r="D27" s="36"/>
      <c r="E27" s="36"/>
      <c r="F27" s="48"/>
      <c r="G27" s="48"/>
      <c r="H27" s="48"/>
      <c r="I27" s="48"/>
      <c r="J27" s="58"/>
      <c r="K27" s="56"/>
      <c r="L27" s="56"/>
      <c r="M27" s="56"/>
      <c r="N27" s="48"/>
    </row>
    <row r="28" spans="1:14" x14ac:dyDescent="0.25">
      <c r="A28" s="1">
        <f>IF(AND([1]Pivots!B16&lt;&gt;"",[1]Pivots!B16&lt;&gt;"!!!",[1]Pivots!B16&lt;&gt;"Grand Total"),[1]Pivots!B16,"")</f>
        <v>11.04</v>
      </c>
      <c r="B28" s="33"/>
      <c r="C28" s="33" t="s">
        <v>29</v>
      </c>
      <c r="D28" s="34"/>
      <c r="E28" s="34"/>
      <c r="F28" s="47"/>
      <c r="G28" s="47"/>
      <c r="H28" s="47"/>
      <c r="I28" s="47"/>
      <c r="J28" s="57"/>
      <c r="K28" s="56"/>
      <c r="L28" s="56"/>
      <c r="M28" s="56"/>
      <c r="N28" s="47"/>
    </row>
    <row r="29" spans="1:14" x14ac:dyDescent="0.25">
      <c r="A29" s="1">
        <f>IF(AND([1]Pivots!B17&lt;&gt;"",[1]Pivots!B17&lt;&gt;"!!!",[1]Pivots!B17&lt;&gt;"Grand Total"),[1]Pivots!B17,"")</f>
        <v>15.01</v>
      </c>
      <c r="B29" s="35"/>
      <c r="C29" s="35" t="s">
        <v>30</v>
      </c>
      <c r="D29" s="36"/>
      <c r="E29" s="36"/>
      <c r="F29" s="48"/>
      <c r="G29" s="48"/>
      <c r="H29" s="48"/>
      <c r="I29" s="48"/>
      <c r="J29" s="58"/>
      <c r="K29" s="56"/>
      <c r="L29" s="56"/>
      <c r="M29" s="56"/>
      <c r="N29" s="48"/>
    </row>
    <row r="30" spans="1:14" x14ac:dyDescent="0.25">
      <c r="A30" s="1">
        <f>IF(AND([1]Pivots!B18&lt;&gt;"",[1]Pivots!B18&lt;&gt;"!!!",[1]Pivots!B18&lt;&gt;"Grand Total"),[1]Pivots!B18,"")</f>
        <v>16.010000000000002</v>
      </c>
      <c r="B30" s="33"/>
      <c r="C30" s="33" t="s">
        <v>31</v>
      </c>
      <c r="D30" s="34"/>
      <c r="E30" s="34"/>
      <c r="F30" s="47"/>
      <c r="G30" s="47"/>
      <c r="H30" s="47"/>
      <c r="I30" s="47"/>
      <c r="J30" s="57"/>
      <c r="K30" s="56"/>
      <c r="L30" s="56"/>
      <c r="M30" s="56"/>
      <c r="N30" s="47"/>
    </row>
    <row r="31" spans="1:14" x14ac:dyDescent="0.25">
      <c r="A31" s="1">
        <f>IF(AND([1]Pivots!B19&lt;&gt;"",[1]Pivots!B19&lt;&gt;"!!!",[1]Pivots!B19&lt;&gt;"Grand Total"),[1]Pivots!B19,"")</f>
        <v>16.02</v>
      </c>
      <c r="B31" s="35"/>
      <c r="C31" s="35" t="s">
        <v>32</v>
      </c>
      <c r="D31" s="36"/>
      <c r="E31" s="36"/>
      <c r="F31" s="48"/>
      <c r="G31" s="48"/>
      <c r="H31" s="48"/>
      <c r="I31" s="48"/>
      <c r="J31" s="58"/>
      <c r="K31" s="56"/>
      <c r="L31" s="56"/>
      <c r="M31" s="56"/>
      <c r="N31" s="48"/>
    </row>
    <row r="32" spans="1:14" x14ac:dyDescent="0.25">
      <c r="A32" s="1">
        <f>IF(AND([1]Pivots!B20&lt;&gt;"",[1]Pivots!B20&lt;&gt;"!!!",[1]Pivots!B20&lt;&gt;"Grand Total"),[1]Pivots!B20,"")</f>
        <v>16.03</v>
      </c>
      <c r="B32" s="33"/>
      <c r="C32" s="33" t="s">
        <v>32</v>
      </c>
      <c r="D32" s="34"/>
      <c r="E32" s="34"/>
      <c r="F32" s="47"/>
      <c r="G32" s="47"/>
      <c r="H32" s="47"/>
      <c r="I32" s="47"/>
      <c r="J32" s="57"/>
      <c r="K32" s="56"/>
      <c r="L32" s="56"/>
      <c r="M32" s="56"/>
      <c r="N32" s="47"/>
    </row>
    <row r="33" spans="1:14" x14ac:dyDescent="0.25">
      <c r="A33" s="1">
        <f>IF(AND([1]Pivots!B21&lt;&gt;"",[1]Pivots!B21&lt;&gt;"!!!",[1]Pivots!B21&lt;&gt;"Grand Total"),[1]Pivots!B21,"")</f>
        <v>16.04</v>
      </c>
      <c r="B33" s="35"/>
      <c r="C33" s="35" t="s">
        <v>32</v>
      </c>
      <c r="D33" s="36"/>
      <c r="E33" s="36"/>
      <c r="F33" s="48"/>
      <c r="G33" s="48"/>
      <c r="H33" s="48"/>
      <c r="I33" s="48"/>
      <c r="J33" s="58"/>
      <c r="K33" s="56"/>
      <c r="L33" s="56"/>
      <c r="M33" s="56"/>
      <c r="N33" s="48"/>
    </row>
    <row r="34" spans="1:14" x14ac:dyDescent="0.25">
      <c r="A34" s="1">
        <f>IF(AND([1]Pivots!B22&lt;&gt;"",[1]Pivots!B22&lt;&gt;"!!!",[1]Pivots!B22&lt;&gt;"Grand Total"),[1]Pivots!B22,"")</f>
        <v>16.05</v>
      </c>
      <c r="B34" s="33"/>
      <c r="C34" s="33" t="s">
        <v>22</v>
      </c>
      <c r="D34" s="34"/>
      <c r="E34" s="34"/>
      <c r="F34" s="47"/>
      <c r="G34" s="47"/>
      <c r="H34" s="47"/>
      <c r="I34" s="47"/>
      <c r="J34" s="57"/>
      <c r="K34" s="56"/>
      <c r="L34" s="56"/>
      <c r="M34" s="56"/>
      <c r="N34" s="47"/>
    </row>
    <row r="35" spans="1:14" x14ac:dyDescent="0.25">
      <c r="A35" s="1">
        <f>IF(AND([1]Pivots!B23&lt;&gt;"",[1]Pivots!B23&lt;&gt;"!!!",[1]Pivots!B23&lt;&gt;"Grand Total"),[1]Pivots!B23,"")</f>
        <v>16.059999999999999</v>
      </c>
      <c r="B35" s="35"/>
      <c r="C35" s="35" t="s">
        <v>22</v>
      </c>
      <c r="D35" s="36"/>
      <c r="E35" s="36"/>
      <c r="F35" s="48"/>
      <c r="G35" s="48"/>
      <c r="H35" s="48"/>
      <c r="I35" s="48"/>
      <c r="J35" s="58"/>
      <c r="K35" s="56"/>
      <c r="L35" s="56"/>
      <c r="M35" s="56"/>
      <c r="N35" s="48"/>
    </row>
    <row r="36" spans="1:14" x14ac:dyDescent="0.25">
      <c r="A36" s="1">
        <f>IF(AND([1]Pivots!B24&lt;&gt;"",[1]Pivots!B24&lt;&gt;"!!!",[1]Pivots!B24&lt;&gt;"Grand Total"),[1]Pivots!B24,"")</f>
        <v>22.01</v>
      </c>
      <c r="B36" s="33"/>
      <c r="C36" s="33" t="s">
        <v>28</v>
      </c>
      <c r="D36" s="34"/>
      <c r="E36" s="34"/>
      <c r="F36" s="47"/>
      <c r="G36" s="47"/>
      <c r="H36" s="47"/>
      <c r="I36" s="47"/>
      <c r="J36" s="57"/>
      <c r="K36" s="56"/>
      <c r="L36" s="56"/>
      <c r="M36" s="56"/>
      <c r="N36" s="47"/>
    </row>
    <row r="37" spans="1:14" x14ac:dyDescent="0.25">
      <c r="A37" s="1">
        <f>IF(AND([1]Pivots!B25&lt;&gt;"",[1]Pivots!B25&lt;&gt;"!!!",[1]Pivots!B25&lt;&gt;"Grand Total"),[1]Pivots!B25,"")</f>
        <v>22.02</v>
      </c>
      <c r="B37" s="35"/>
      <c r="C37" s="35" t="s">
        <v>28</v>
      </c>
      <c r="D37" s="36"/>
      <c r="E37" s="36"/>
      <c r="F37" s="48"/>
      <c r="G37" s="48"/>
      <c r="H37" s="48"/>
      <c r="I37" s="48"/>
      <c r="J37" s="58"/>
      <c r="K37" s="56"/>
      <c r="L37" s="56"/>
      <c r="M37" s="56"/>
      <c r="N37" s="48"/>
    </row>
    <row r="38" spans="1:14" x14ac:dyDescent="0.25">
      <c r="A38" s="1">
        <f>IF(AND([1]Pivots!B26&lt;&gt;"",[1]Pivots!B26&lt;&gt;"!!!",[1]Pivots!B26&lt;&gt;"Grand Total"),[1]Pivots!B26,"")</f>
        <v>22.03</v>
      </c>
      <c r="B38" s="33"/>
      <c r="C38" s="33" t="s">
        <v>24</v>
      </c>
      <c r="D38" s="34"/>
      <c r="E38" s="34"/>
      <c r="F38" s="47"/>
      <c r="G38" s="47"/>
      <c r="H38" s="47"/>
      <c r="I38" s="47"/>
      <c r="J38" s="57"/>
      <c r="K38" s="56"/>
      <c r="L38" s="56"/>
      <c r="M38" s="56"/>
      <c r="N38" s="47"/>
    </row>
    <row r="39" spans="1:14" ht="15.75" thickBot="1" x14ac:dyDescent="0.3">
      <c r="A39" s="1">
        <f>IF(AND([1]Pivots!B27&lt;&gt;"",[1]Pivots!B27&lt;&gt;"!!!",[1]Pivots!B27&lt;&gt;"Grand Total"),[1]Pivots!B27,"")</f>
        <v>22.04</v>
      </c>
      <c r="B39" s="37"/>
      <c r="C39" s="37" t="s">
        <v>24</v>
      </c>
      <c r="D39" s="38"/>
      <c r="E39" s="38"/>
      <c r="F39" s="49"/>
      <c r="G39" s="49"/>
      <c r="H39" s="49"/>
      <c r="I39" s="49"/>
      <c r="J39" s="58"/>
      <c r="K39" s="56"/>
      <c r="L39" s="56"/>
      <c r="M39" s="56"/>
      <c r="N39" s="49"/>
    </row>
  </sheetData>
  <mergeCells count="3">
    <mergeCell ref="H12:I12"/>
    <mergeCell ref="B9:C9"/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Bertz-Sharon</dc:creator>
  <cp:lastModifiedBy>Daniel Bertz-Sharon</cp:lastModifiedBy>
  <dcterms:created xsi:type="dcterms:W3CDTF">2026-03-19T16:28:44Z</dcterms:created>
  <dcterms:modified xsi:type="dcterms:W3CDTF">2026-03-23T21:34:21Z</dcterms:modified>
</cp:coreProperties>
</file>